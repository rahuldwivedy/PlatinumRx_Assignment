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Data_Analyst_Assignment\Spreadsheets\"/>
    </mc:Choice>
  </mc:AlternateContent>
  <xr:revisionPtr revIDLastSave="0" documentId="13_ncr:1_{693A843E-773F-43D7-BBE3-1A5A33DE0A70}" xr6:coauthVersionLast="47" xr6:coauthVersionMax="47" xr10:uidLastSave="{00000000-0000-0000-0000-000000000000}"/>
  <bookViews>
    <workbookView xWindow="-108" yWindow="-108" windowWidth="23256" windowHeight="13176" xr2:uid="{A7BCB029-FBFF-49A7-ACD0-E71C63D3074F}"/>
  </bookViews>
  <sheets>
    <sheet name="Tickets" sheetId="1" r:id="rId1"/>
    <sheet name="Feedbacks" sheetId="2" r:id="rId2"/>
    <sheet name="Outlet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2" i="3"/>
  <c r="B3" i="3"/>
  <c r="B4" i="3"/>
  <c r="B2" i="3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" i="2"/>
</calcChain>
</file>

<file path=xl/sharedStrings.xml><?xml version="1.0" encoding="utf-8"?>
<sst xmlns="http://schemas.openxmlformats.org/spreadsheetml/2006/main" count="115" uniqueCount="59">
  <si>
    <t>created_at</t>
  </si>
  <si>
    <t>closed_at</t>
  </si>
  <si>
    <t>outlet_id</t>
  </si>
  <si>
    <t>cms_id</t>
  </si>
  <si>
    <t>ticket_id</t>
  </si>
  <si>
    <t>t1</t>
  </si>
  <si>
    <t>o1</t>
  </si>
  <si>
    <t>t2</t>
  </si>
  <si>
    <t>t3</t>
  </si>
  <si>
    <t>o2</t>
  </si>
  <si>
    <t>t4</t>
  </si>
  <si>
    <t>t5</t>
  </si>
  <si>
    <t>o3</t>
  </si>
  <si>
    <t>t6</t>
  </si>
  <si>
    <t>t7</t>
  </si>
  <si>
    <t>t8</t>
  </si>
  <si>
    <t>t9</t>
  </si>
  <si>
    <t>t10</t>
  </si>
  <si>
    <t>cmA91</t>
  </si>
  <si>
    <t>cmX12</t>
  </si>
  <si>
    <t>cmB77</t>
  </si>
  <si>
    <t>cmZ45</t>
  </si>
  <si>
    <t>cmK33</t>
  </si>
  <si>
    <t>cmL90</t>
  </si>
  <si>
    <t>cmQ21</t>
  </si>
  <si>
    <t>cmN56</t>
  </si>
  <si>
    <t>cmP88</t>
  </si>
  <si>
    <t>cmR66</t>
  </si>
  <si>
    <t>t11</t>
  </si>
  <si>
    <t>cmH11</t>
  </si>
  <si>
    <t>t12</t>
  </si>
  <si>
    <t>cmD54</t>
  </si>
  <si>
    <t>t13</t>
  </si>
  <si>
    <t>cmT77</t>
  </si>
  <si>
    <t>t14</t>
  </si>
  <si>
    <t>cmU88</t>
  </si>
  <si>
    <t>t15</t>
  </si>
  <si>
    <t>cmV22</t>
  </si>
  <si>
    <t>t16</t>
  </si>
  <si>
    <t>cmW11</t>
  </si>
  <si>
    <t>t17</t>
  </si>
  <si>
    <t>cmY33</t>
  </si>
  <si>
    <t>t18</t>
  </si>
  <si>
    <t>cmE44</t>
  </si>
  <si>
    <t>t19</t>
  </si>
  <si>
    <t>cmF55</t>
  </si>
  <si>
    <t>t20</t>
  </si>
  <si>
    <t>cmG66</t>
  </si>
  <si>
    <t>feedback_at</t>
  </si>
  <si>
    <t>feedback_rating</t>
  </si>
  <si>
    <t>ticket_created_at</t>
  </si>
  <si>
    <t>Same Day</t>
  </si>
  <si>
    <t>Same Hour</t>
  </si>
  <si>
    <t>Row Labels</t>
  </si>
  <si>
    <t>Grand Total</t>
  </si>
  <si>
    <t>Count of Same Day</t>
  </si>
  <si>
    <t>Count of Same Hour</t>
  </si>
  <si>
    <t>Column Labels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</si>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</sst>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3" borderId="1" xfId="0" applyFill="1" applyBorder="1" applyAlignment="1">
      <alignment horizontal="center"/>
    </xf>
    <xf numFmtId="22" fontId="0" fillId="3" borderId="1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22" fontId="0" fillId="3" borderId="8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14" fontId="0" fillId="3" borderId="3" xfId="0" applyNumberFormat="1" applyFill="1" applyBorder="1" applyAlignment="1">
      <alignment horizontal="center"/>
    </xf>
    <xf numFmtId="14" fontId="0" fillId="3" borderId="9" xfId="0" applyNumberForma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7" formatCode="dd/mm/yyyy\ hh:mm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7" formatCode="dd/mm/yyyy\ hh:mm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7" formatCode="dd/mm/yyyy\ hh:mm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7" formatCode="dd/mm/yyyy\ hh:mm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21.425237847223" createdVersion="8" refreshedVersion="8" minRefreshableVersion="3" recordCount="20" xr:uid="{850FEFA8-D648-4FA2-861C-4906BE23981C}">
  <cacheSource type="worksheet">
    <worksheetSource name="Table1"/>
  </cacheSource>
  <cacheFields count="7">
    <cacheField name="ticket_id" numFmtId="0">
      <sharedItems/>
    </cacheField>
    <cacheField name="created_at" numFmtId="22">
      <sharedItems containsSemiMixedTypes="0" containsNonDate="0" containsDate="1" containsString="0" minDate="2021-08-19T09:00:00" maxDate="2021-08-28T19:00:00"/>
    </cacheField>
    <cacheField name="closed_at" numFmtId="22">
      <sharedItems containsSemiMixedTypes="0" containsNonDate="0" containsDate="1" containsString="0" minDate="2021-08-19T12:30:00" maxDate="2021-08-29T09:15:00"/>
    </cacheField>
    <cacheField name="outlet_id" numFmtId="0">
      <sharedItems count="3">
        <s v="o1"/>
        <s v="o2"/>
        <s v="o3"/>
      </sharedItems>
    </cacheField>
    <cacheField name="cms_id" numFmtId="0">
      <sharedItems/>
    </cacheField>
    <cacheField name="Same Day" numFmtId="0">
      <sharedItems count="2">
        <s v="Yes"/>
        <s v="No"/>
      </sharedItems>
    </cacheField>
    <cacheField name="Same Hour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57610292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t1"/>
    <d v="2021-08-19T10:15:00"/>
    <d v="2021-08-19T12:30:00"/>
    <x v="0"/>
    <s v="cmA91"/>
    <x v="0"/>
    <x v="0"/>
  </r>
  <r>
    <s v="t2"/>
    <d v="2021-08-19T09:00:00"/>
    <d v="2021-08-20T11:00:00"/>
    <x v="0"/>
    <s v="cmX12"/>
    <x v="1"/>
    <x v="0"/>
  </r>
  <r>
    <s v="t3"/>
    <d v="2021-08-20T14:10:00"/>
    <d v="2021-08-20T14:45:00"/>
    <x v="1"/>
    <s v="cmB77"/>
    <x v="0"/>
    <x v="1"/>
  </r>
  <r>
    <s v="t4"/>
    <d v="2021-08-20T16:20:00"/>
    <d v="2021-08-21T10:00:00"/>
    <x v="1"/>
    <s v="cmZ45"/>
    <x v="1"/>
    <x v="0"/>
  </r>
  <r>
    <s v="t5"/>
    <d v="2021-08-21T11:05:00"/>
    <d v="2021-08-21T11:50:00"/>
    <x v="2"/>
    <s v="cmK33"/>
    <x v="0"/>
    <x v="1"/>
  </r>
  <r>
    <s v="t6"/>
    <d v="2021-08-21T08:30:00"/>
    <d v="2021-08-21T09:40:00"/>
    <x v="2"/>
    <s v="cmL90"/>
    <x v="0"/>
    <x v="0"/>
  </r>
  <r>
    <s v="t7"/>
    <d v="2021-08-22T13:00:00"/>
    <d v="2021-08-22T15:00:00"/>
    <x v="0"/>
    <s v="cmQ21"/>
    <x v="0"/>
    <x v="0"/>
  </r>
  <r>
    <s v="t8"/>
    <d v="2021-08-22T17:25:00"/>
    <d v="2021-08-23T10:10:00"/>
    <x v="1"/>
    <s v="cmN56"/>
    <x v="1"/>
    <x v="0"/>
  </r>
  <r>
    <s v="t9"/>
    <d v="2021-08-23T10:10:00"/>
    <d v="2021-08-23T10:50:00"/>
    <x v="2"/>
    <s v="cmP88"/>
    <x v="0"/>
    <x v="1"/>
  </r>
  <r>
    <s v="t10"/>
    <d v="2021-08-23T18:00:00"/>
    <d v="2021-08-24T09:00:00"/>
    <x v="0"/>
    <s v="cmR66"/>
    <x v="1"/>
    <x v="0"/>
  </r>
  <r>
    <s v="t11"/>
    <d v="2021-08-24T07:45:00"/>
    <d v="2021-08-24T08:10:00"/>
    <x v="1"/>
    <s v="cmH11"/>
    <x v="0"/>
    <x v="0"/>
  </r>
  <r>
    <s v="t12"/>
    <d v="2021-08-24T15:20:00"/>
    <d v="2021-08-25T09:30:00"/>
    <x v="2"/>
    <s v="cmD54"/>
    <x v="1"/>
    <x v="0"/>
  </r>
  <r>
    <s v="t13"/>
    <d v="2021-08-25T09:10:00"/>
    <d v="2021-08-25T10:00:00"/>
    <x v="0"/>
    <s v="cmT77"/>
    <x v="0"/>
    <x v="0"/>
  </r>
  <r>
    <s v="t14"/>
    <d v="2021-08-25T11:45:00"/>
    <d v="2021-08-26T12:10:00"/>
    <x v="1"/>
    <s v="cmU88"/>
    <x v="1"/>
    <x v="0"/>
  </r>
  <r>
    <s v="t15"/>
    <d v="2021-08-26T14:00:00"/>
    <d v="2021-08-26T14:50:00"/>
    <x v="2"/>
    <s v="cmV22"/>
    <x v="0"/>
    <x v="1"/>
  </r>
  <r>
    <s v="t16"/>
    <d v="2021-08-26T16:30:00"/>
    <d v="2021-08-27T09:20:00"/>
    <x v="0"/>
    <s v="cmW11"/>
    <x v="1"/>
    <x v="0"/>
  </r>
  <r>
    <s v="t17"/>
    <d v="2021-08-27T08:15:00"/>
    <d v="2021-08-27T08:55:00"/>
    <x v="1"/>
    <s v="cmY33"/>
    <x v="0"/>
    <x v="1"/>
  </r>
  <r>
    <s v="t18"/>
    <d v="2021-08-27T17:40:00"/>
    <d v="2021-08-28T10:30:00"/>
    <x v="2"/>
    <s v="cmE44"/>
    <x v="1"/>
    <x v="0"/>
  </r>
  <r>
    <s v="t19"/>
    <d v="2021-08-28T12:10:00"/>
    <d v="2021-08-28T12:45:00"/>
    <x v="0"/>
    <s v="cmF55"/>
    <x v="0"/>
    <x v="1"/>
  </r>
  <r>
    <s v="t20"/>
    <d v="2021-08-28T19:00:00"/>
    <d v="2021-08-29T09:15:00"/>
    <x v="1"/>
    <s v="cmG66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FC9117-23CD-4F09-B142-3368BE9CEFD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9:K14" firstHeaderRow="1" firstDataRow="2" firstDataCol="1"/>
  <pivotFields count="7">
    <pivotField showAll="0"/>
    <pivotField numFmtId="22" showAll="0"/>
    <pivotField numFmtId="22" showAll="0"/>
    <pivotField axis="axisRow" showAll="0">
      <items count="4">
        <item x="0"/>
        <item x="1"/>
        <item x="2"/>
        <item t="default"/>
      </items>
    </pivotField>
    <pivotField showAll="0"/>
    <pivotField multipleItemSelectionAllowed="1" showAll="0">
      <items count="3">
        <item h="1" x="1"/>
        <item x="0"/>
        <item t="default"/>
      </items>
    </pivotField>
    <pivotField axis="axisCol" dataField="1" showAll="0">
      <items count="3">
        <item h="1" x="0"/>
        <item x="1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6"/>
  </colFields>
  <colItems count="2">
    <i>
      <x v="1"/>
    </i>
    <i t="grand">
      <x/>
    </i>
  </colItems>
  <dataFields count="1">
    <dataField name="Count of Same Hour" fld="6" subtotal="count" baseField="0" baseItem="0"/>
  </dataFields>
  <formats count="1">
    <format dxfId="26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427B7C-7CDA-4466-AD61-2CFEC005AC2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:K6" firstHeaderRow="1" firstDataRow="2" firstDataCol="1"/>
  <pivotFields count="7">
    <pivotField showAll="0"/>
    <pivotField numFmtId="22" showAll="0"/>
    <pivotField numFmtId="22" showAll="0"/>
    <pivotField axis="axisRow" showAll="0">
      <items count="4">
        <item x="0"/>
        <item x="1"/>
        <item x="2"/>
        <item t="default"/>
      </items>
    </pivotField>
    <pivotField showAll="0"/>
    <pivotField axis="axisCol" dataField="1" multipleItemSelectionAllowed="1" showAll="0">
      <items count="3">
        <item h="1" x="1"/>
        <item x="0"/>
        <item t="default"/>
      </items>
    </pivotField>
    <pivotField showAll="0">
      <items count="3">
        <item h="1" x="0"/>
        <item x="1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5"/>
  </colFields>
  <colItems count="2">
    <i>
      <x v="1"/>
    </i>
    <i t="grand">
      <x/>
    </i>
  </colItems>
  <dataFields count="1">
    <dataField name="Count of Same Day" fld="5" subtotal="count" baseField="0" baseItem="0"/>
  </dataFields>
  <formats count="10">
    <format dxfId="36">
      <pivotArea type="all" dataOnly="0" outline="0" fieldPosition="0"/>
    </format>
    <format dxfId="35">
      <pivotArea outline="0" collapsedLevelsAreSubtotals="1" fieldPosition="0"/>
    </format>
    <format dxfId="34">
      <pivotArea type="origin" dataOnly="0" labelOnly="1" outline="0" fieldPosition="0"/>
    </format>
    <format dxfId="33">
      <pivotArea field="5" type="button" dataOnly="0" labelOnly="1" outline="0" axis="axisCol" fieldPosition="0"/>
    </format>
    <format dxfId="32">
      <pivotArea type="topRight" dataOnly="0" labelOnly="1" outline="0" fieldPosition="0"/>
    </format>
    <format dxfId="31">
      <pivotArea field="3" type="button" dataOnly="0" labelOnly="1" outline="0" axis="axisRow" fieldPosition="0"/>
    </format>
    <format dxfId="30">
      <pivotArea dataOnly="0" labelOnly="1" fieldPosition="0">
        <references count="1">
          <reference field="3" count="0"/>
        </references>
      </pivotArea>
    </format>
    <format dxfId="29">
      <pivotArea dataOnly="0" labelOnly="1" grandRow="1" outline="0" fieldPosition="0"/>
    </format>
    <format dxfId="28">
      <pivotArea dataOnly="0" labelOnly="1" fieldPosition="0">
        <references count="1">
          <reference field="5" count="0"/>
        </references>
      </pivotArea>
    </format>
    <format dxfId="2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5228AD-A8B7-45C8-AFD1-E2C1B13EBA0C}" name="Table1" displayName="Table1" ref="A1:G21" totalsRowShown="0" headerRowDxfId="25" headerRowBorderDxfId="24" tableBorderDxfId="23" totalsRowBorderDxfId="22">
  <autoFilter ref="A1:G21" xr:uid="{E85228AD-A8B7-45C8-AFD1-E2C1B13EBA0C}"/>
  <tableColumns count="7">
    <tableColumn id="1" xr3:uid="{4DFDF4AA-D8CA-4D26-B9F6-B433382C4CC8}" name="ticket_id" dataDxfId="21"/>
    <tableColumn id="2" xr3:uid="{4FFBCBCE-20C0-4218-B5C6-44EA2881E729}" name="created_at" dataDxfId="20"/>
    <tableColumn id="3" xr3:uid="{14506048-716C-4AC9-9A13-B29E7966B8F9}" name="closed_at" dataDxfId="19"/>
    <tableColumn id="4" xr3:uid="{1A4C08E9-7FF1-4D6C-AEC1-EB572CBD88B6}" name="outlet_id" dataDxfId="18"/>
    <tableColumn id="5" xr3:uid="{EA980213-F6CC-4D5D-9410-AB913A5FB18D}" name="cms_id" dataDxfId="17"/>
    <tableColumn id="6" xr3:uid="{1F13DBAA-B561-4579-AD2C-F75DDB62324A}" name="Same Day" dataDxfId="16">
      <calculatedColumnFormula>IF(INT(B2)=INT(C2),"Yes","No")</calculatedColumnFormula>
    </tableColumn>
    <tableColumn id="7" xr3:uid="{0C784641-F316-4E40-8B91-1576769B4AF9}" name="Same Hour" dataDxfId="15">
      <calculatedColumnFormula>IF(AND(INT(B2)=INT(C2), HOUR(B2)=HOUR(C2)),"Yes","No")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1C0885-9D3C-47FF-B033-FD6B637966BB}" name="Table2" displayName="Table2" ref="A1:D21" totalsRowShown="0" headerRowDxfId="14" headerRowBorderDxfId="13" tableBorderDxfId="12" totalsRowBorderDxfId="11">
  <autoFilter ref="A1:D21" xr:uid="{CF1C0885-9D3C-47FF-B033-FD6B637966BB}"/>
  <tableColumns count="4">
    <tableColumn id="1" xr3:uid="{57319BB2-AF88-40CD-BD68-88F72B101F4B}" name="cms_id" dataDxfId="10"/>
    <tableColumn id="2" xr3:uid="{E01DD9F2-A202-4B10-9784-C5CA66AE7E20}" name="feedback_at" dataDxfId="9"/>
    <tableColumn id="3" xr3:uid="{62723DB6-477C-4B46-8AA7-BC46D9EF3FEE}" name="feedback_rating" dataDxfId="8"/>
    <tableColumn id="4" xr3:uid="{39416742-BF82-4E14-AE80-D1736FD55508}" name="ticket_created_at" dataDxfId="7">
      <calculatedColumnFormula>_xlfn.XLOOKUP($A2, Tickets!$E$2:$E$21, Tickets!$B$2:$B$21, "", 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8A4441-88E2-4B64-8ECB-83898182D8F5}" name="Table3" displayName="Table3" ref="A1:C4" totalsRowShown="0" headerRowDxfId="6" headerRowBorderDxfId="5" tableBorderDxfId="4" totalsRowBorderDxfId="3">
  <autoFilter ref="A1:C4" xr:uid="{498A4441-88E2-4B64-8ECB-83898182D8F5}"/>
  <tableColumns count="3">
    <tableColumn id="1" xr3:uid="{DF6A796C-50FB-4507-8A30-31E3B95341D1}" name="outlet_id" dataDxfId="2"/>
    <tableColumn id="2" xr3:uid="{CA029E59-9F87-40CF-8DA4-19B7F4BC4B88}" name="Same Day" dataDxfId="1">
      <calculatedColumnFormula>COUNTIFS(Table1[outlet_id], A2, Table1[Same Day], "Yes")</calculatedColumnFormula>
    </tableColumn>
    <tableColumn id="3" xr3:uid="{B72FA905-453E-4E31-ADFA-6E401067FA68}" name="Same Hour" dataDxfId="0">
      <calculatedColumnFormula>COUNTIFS(Table1[outlet_id], A2,Table1[Same Hour], "Yes")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DE480-0D15-46D2-82B5-FE9949E0EEA7}">
  <dimension ref="A1:K21"/>
  <sheetViews>
    <sheetView tabSelected="1" topLeftCell="A2" workbookViewId="0">
      <selection activeCell="E3" sqref="E3"/>
    </sheetView>
  </sheetViews>
  <sheetFormatPr defaultRowHeight="14.4" x14ac:dyDescent="0.3"/>
  <cols>
    <col min="1" max="1" width="16.77734375" customWidth="1"/>
    <col min="2" max="2" width="20.21875" customWidth="1"/>
    <col min="3" max="3" width="18.77734375" customWidth="1"/>
    <col min="4" max="4" width="14.5546875" customWidth="1"/>
    <col min="5" max="5" width="13.21875" customWidth="1"/>
    <col min="6" max="6" width="15.44140625" customWidth="1"/>
    <col min="7" max="7" width="15.6640625" bestFit="1" customWidth="1"/>
    <col min="9" max="9" width="17.33203125" bestFit="1" customWidth="1"/>
    <col min="10" max="10" width="15.5546875" bestFit="1" customWidth="1"/>
    <col min="11" max="12" width="10.77734375" bestFit="1" customWidth="1"/>
    <col min="13" max="13" width="18.21875" bestFit="1" customWidth="1"/>
    <col min="14" max="14" width="15.5546875" bestFit="1" customWidth="1"/>
    <col min="15" max="15" width="10.77734375" bestFit="1" customWidth="1"/>
    <col min="16" max="16" width="18.21875" bestFit="1" customWidth="1"/>
    <col min="17" max="17" width="15.5546875" bestFit="1" customWidth="1"/>
    <col min="18" max="19" width="10.77734375" bestFit="1" customWidth="1"/>
    <col min="20" max="20" width="22.109375" bestFit="1" customWidth="1"/>
    <col min="21" max="21" width="23" bestFit="1" customWidth="1"/>
  </cols>
  <sheetData>
    <row r="1" spans="1:11" ht="15.6" x14ac:dyDescent="0.3">
      <c r="A1" s="5" t="s">
        <v>4</v>
      </c>
      <c r="B1" s="6" t="s">
        <v>0</v>
      </c>
      <c r="C1" s="6" t="s">
        <v>1</v>
      </c>
      <c r="D1" s="6" t="s">
        <v>2</v>
      </c>
      <c r="E1" s="7" t="s">
        <v>3</v>
      </c>
      <c r="F1" s="6" t="s">
        <v>51</v>
      </c>
      <c r="G1" s="6" t="s">
        <v>52</v>
      </c>
      <c r="I1" s="17" t="s">
        <v>55</v>
      </c>
      <c r="J1" s="17" t="s">
        <v>57</v>
      </c>
      <c r="K1" s="18"/>
    </row>
    <row r="2" spans="1:11" x14ac:dyDescent="0.3">
      <c r="A2" s="3" t="s">
        <v>5</v>
      </c>
      <c r="B2" s="2">
        <v>44427.427083333336</v>
      </c>
      <c r="C2" s="2">
        <v>44427.520833333336</v>
      </c>
      <c r="D2" s="1" t="s">
        <v>6</v>
      </c>
      <c r="E2" s="4" t="s">
        <v>18</v>
      </c>
      <c r="F2" s="1" t="str">
        <f t="shared" ref="F2:F21" si="0">IF(INT(B2)=INT(C2),"Yes","No")</f>
        <v>Yes</v>
      </c>
      <c r="G2" s="4" t="str">
        <f t="shared" ref="G2:G21" si="1">IF(AND(INT(B2)=INT(C2), HOUR(B2)=HOUR(C2)),"Yes","No")</f>
        <v>No</v>
      </c>
      <c r="I2" s="17" t="s">
        <v>53</v>
      </c>
      <c r="J2" s="18" t="s">
        <v>58</v>
      </c>
      <c r="K2" s="18" t="s">
        <v>54</v>
      </c>
    </row>
    <row r="3" spans="1:11" x14ac:dyDescent="0.3">
      <c r="A3" s="3" t="s">
        <v>7</v>
      </c>
      <c r="B3" s="2">
        <v>44427.375</v>
      </c>
      <c r="C3" s="2">
        <v>44428.458333333336</v>
      </c>
      <c r="D3" s="1" t="s">
        <v>6</v>
      </c>
      <c r="E3" s="4" t="s">
        <v>19</v>
      </c>
      <c r="F3" s="1" t="str">
        <f t="shared" si="0"/>
        <v>No</v>
      </c>
      <c r="G3" s="4" t="str">
        <f t="shared" si="1"/>
        <v>No</v>
      </c>
      <c r="I3" s="19" t="s">
        <v>6</v>
      </c>
      <c r="J3" s="18">
        <v>4</v>
      </c>
      <c r="K3" s="18">
        <v>4</v>
      </c>
    </row>
    <row r="4" spans="1:11" x14ac:dyDescent="0.3">
      <c r="A4" s="3" t="s">
        <v>8</v>
      </c>
      <c r="B4" s="2">
        <v>44428.590277777781</v>
      </c>
      <c r="C4" s="2">
        <v>44428.614583333336</v>
      </c>
      <c r="D4" s="1" t="s">
        <v>9</v>
      </c>
      <c r="E4" s="4" t="s">
        <v>20</v>
      </c>
      <c r="F4" s="1" t="str">
        <f t="shared" si="0"/>
        <v>Yes</v>
      </c>
      <c r="G4" s="4" t="str">
        <f t="shared" si="1"/>
        <v>Yes</v>
      </c>
      <c r="I4" s="19" t="s">
        <v>9</v>
      </c>
      <c r="J4" s="18">
        <v>3</v>
      </c>
      <c r="K4" s="18">
        <v>3</v>
      </c>
    </row>
    <row r="5" spans="1:11" x14ac:dyDescent="0.3">
      <c r="A5" s="3" t="s">
        <v>10</v>
      </c>
      <c r="B5" s="2">
        <v>44428.680555555555</v>
      </c>
      <c r="C5" s="2">
        <v>44429.416666666664</v>
      </c>
      <c r="D5" s="1" t="s">
        <v>9</v>
      </c>
      <c r="E5" s="4" t="s">
        <v>21</v>
      </c>
      <c r="F5" s="1" t="str">
        <f t="shared" si="0"/>
        <v>No</v>
      </c>
      <c r="G5" s="4" t="str">
        <f t="shared" si="1"/>
        <v>No</v>
      </c>
      <c r="I5" s="19" t="s">
        <v>12</v>
      </c>
      <c r="J5" s="18">
        <v>4</v>
      </c>
      <c r="K5" s="18">
        <v>4</v>
      </c>
    </row>
    <row r="6" spans="1:11" x14ac:dyDescent="0.3">
      <c r="A6" s="3" t="s">
        <v>11</v>
      </c>
      <c r="B6" s="2">
        <v>44429.461805555555</v>
      </c>
      <c r="C6" s="2">
        <v>44429.493055555555</v>
      </c>
      <c r="D6" s="1" t="s">
        <v>12</v>
      </c>
      <c r="E6" s="4" t="s">
        <v>22</v>
      </c>
      <c r="F6" s="1" t="str">
        <f t="shared" si="0"/>
        <v>Yes</v>
      </c>
      <c r="G6" s="4" t="str">
        <f t="shared" si="1"/>
        <v>Yes</v>
      </c>
      <c r="I6" s="19" t="s">
        <v>54</v>
      </c>
      <c r="J6" s="18">
        <v>11</v>
      </c>
      <c r="K6" s="18">
        <v>11</v>
      </c>
    </row>
    <row r="7" spans="1:11" x14ac:dyDescent="0.3">
      <c r="A7" s="3" t="s">
        <v>13</v>
      </c>
      <c r="B7" s="2">
        <v>44429.354166666664</v>
      </c>
      <c r="C7" s="2">
        <v>44429.402777777781</v>
      </c>
      <c r="D7" s="1" t="s">
        <v>12</v>
      </c>
      <c r="E7" s="4" t="s">
        <v>23</v>
      </c>
      <c r="F7" s="1" t="str">
        <f t="shared" si="0"/>
        <v>Yes</v>
      </c>
      <c r="G7" s="4" t="str">
        <f t="shared" si="1"/>
        <v>No</v>
      </c>
    </row>
    <row r="8" spans="1:11" x14ac:dyDescent="0.3">
      <c r="A8" s="3" t="s">
        <v>14</v>
      </c>
      <c r="B8" s="2">
        <v>44430.541666666664</v>
      </c>
      <c r="C8" s="2">
        <v>44430.625</v>
      </c>
      <c r="D8" s="1" t="s">
        <v>6</v>
      </c>
      <c r="E8" s="4" t="s">
        <v>24</v>
      </c>
      <c r="F8" s="1" t="str">
        <f t="shared" si="0"/>
        <v>Yes</v>
      </c>
      <c r="G8" s="4" t="str">
        <f t="shared" si="1"/>
        <v>No</v>
      </c>
    </row>
    <row r="9" spans="1:11" x14ac:dyDescent="0.3">
      <c r="A9" s="3" t="s">
        <v>15</v>
      </c>
      <c r="B9" s="2">
        <v>44430.725694444445</v>
      </c>
      <c r="C9" s="2">
        <v>44431.423611111109</v>
      </c>
      <c r="D9" s="1" t="s">
        <v>9</v>
      </c>
      <c r="E9" s="4" t="s">
        <v>25</v>
      </c>
      <c r="F9" s="1" t="str">
        <f t="shared" si="0"/>
        <v>No</v>
      </c>
      <c r="G9" s="4" t="str">
        <f t="shared" si="1"/>
        <v>No</v>
      </c>
      <c r="I9" s="17" t="s">
        <v>56</v>
      </c>
      <c r="J9" s="17" t="s">
        <v>57</v>
      </c>
      <c r="K9" s="18"/>
    </row>
    <row r="10" spans="1:11" x14ac:dyDescent="0.3">
      <c r="A10" s="3" t="s">
        <v>16</v>
      </c>
      <c r="B10" s="2">
        <v>44431.423611111109</v>
      </c>
      <c r="C10" s="2">
        <v>44431.451388888891</v>
      </c>
      <c r="D10" s="1" t="s">
        <v>12</v>
      </c>
      <c r="E10" s="4" t="s">
        <v>26</v>
      </c>
      <c r="F10" s="1" t="str">
        <f t="shared" si="0"/>
        <v>Yes</v>
      </c>
      <c r="G10" s="4" t="str">
        <f t="shared" si="1"/>
        <v>Yes</v>
      </c>
      <c r="I10" s="17" t="s">
        <v>53</v>
      </c>
      <c r="J10" s="18" t="s">
        <v>58</v>
      </c>
      <c r="K10" s="18" t="s">
        <v>54</v>
      </c>
    </row>
    <row r="11" spans="1:11" x14ac:dyDescent="0.3">
      <c r="A11" s="3" t="s">
        <v>17</v>
      </c>
      <c r="B11" s="2">
        <v>44431.75</v>
      </c>
      <c r="C11" s="2">
        <v>44432.375</v>
      </c>
      <c r="D11" s="1" t="s">
        <v>6</v>
      </c>
      <c r="E11" s="4" t="s">
        <v>27</v>
      </c>
      <c r="F11" s="1" t="str">
        <f t="shared" si="0"/>
        <v>No</v>
      </c>
      <c r="G11" s="4" t="str">
        <f t="shared" si="1"/>
        <v>No</v>
      </c>
      <c r="I11" s="19" t="s">
        <v>6</v>
      </c>
      <c r="J11" s="18">
        <v>1</v>
      </c>
      <c r="K11" s="18">
        <v>1</v>
      </c>
    </row>
    <row r="12" spans="1:11" x14ac:dyDescent="0.3">
      <c r="A12" s="3" t="s">
        <v>28</v>
      </c>
      <c r="B12" s="2">
        <v>44432.322916666664</v>
      </c>
      <c r="C12" s="2">
        <v>44432.340277777781</v>
      </c>
      <c r="D12" s="1" t="s">
        <v>9</v>
      </c>
      <c r="E12" s="4" t="s">
        <v>29</v>
      </c>
      <c r="F12" s="1" t="str">
        <f t="shared" si="0"/>
        <v>Yes</v>
      </c>
      <c r="G12" s="4" t="str">
        <f t="shared" si="1"/>
        <v>No</v>
      </c>
      <c r="I12" s="19" t="s">
        <v>9</v>
      </c>
      <c r="J12" s="18">
        <v>2</v>
      </c>
      <c r="K12" s="18">
        <v>2</v>
      </c>
    </row>
    <row r="13" spans="1:11" x14ac:dyDescent="0.3">
      <c r="A13" s="3" t="s">
        <v>30</v>
      </c>
      <c r="B13" s="2">
        <v>44432.638888888891</v>
      </c>
      <c r="C13" s="2">
        <v>44433.395833333336</v>
      </c>
      <c r="D13" s="1" t="s">
        <v>12</v>
      </c>
      <c r="E13" s="4" t="s">
        <v>31</v>
      </c>
      <c r="F13" s="1" t="str">
        <f t="shared" si="0"/>
        <v>No</v>
      </c>
      <c r="G13" s="4" t="str">
        <f t="shared" si="1"/>
        <v>No</v>
      </c>
      <c r="I13" s="19" t="s">
        <v>12</v>
      </c>
      <c r="J13" s="18">
        <v>3</v>
      </c>
      <c r="K13" s="18">
        <v>3</v>
      </c>
    </row>
    <row r="14" spans="1:11" x14ac:dyDescent="0.3">
      <c r="A14" s="3" t="s">
        <v>32</v>
      </c>
      <c r="B14" s="2">
        <v>44433.381944444445</v>
      </c>
      <c r="C14" s="2">
        <v>44433.416666666664</v>
      </c>
      <c r="D14" s="1" t="s">
        <v>6</v>
      </c>
      <c r="E14" s="4" t="s">
        <v>33</v>
      </c>
      <c r="F14" s="1" t="str">
        <f t="shared" si="0"/>
        <v>Yes</v>
      </c>
      <c r="G14" s="4" t="str">
        <f t="shared" si="1"/>
        <v>No</v>
      </c>
      <c r="I14" s="19" t="s">
        <v>54</v>
      </c>
      <c r="J14" s="18">
        <v>6</v>
      </c>
      <c r="K14" s="18">
        <v>6</v>
      </c>
    </row>
    <row r="15" spans="1:11" x14ac:dyDescent="0.3">
      <c r="A15" s="3" t="s">
        <v>34</v>
      </c>
      <c r="B15" s="2">
        <v>44433.489583333336</v>
      </c>
      <c r="C15" s="2">
        <v>44434.506944444445</v>
      </c>
      <c r="D15" s="1" t="s">
        <v>9</v>
      </c>
      <c r="E15" s="4" t="s">
        <v>35</v>
      </c>
      <c r="F15" s="1" t="str">
        <f t="shared" si="0"/>
        <v>No</v>
      </c>
      <c r="G15" s="4" t="str">
        <f t="shared" si="1"/>
        <v>No</v>
      </c>
    </row>
    <row r="16" spans="1:11" x14ac:dyDescent="0.3">
      <c r="A16" s="3" t="s">
        <v>36</v>
      </c>
      <c r="B16" s="2">
        <v>44434.583333333336</v>
      </c>
      <c r="C16" s="2">
        <v>44434.618055555555</v>
      </c>
      <c r="D16" s="1" t="s">
        <v>12</v>
      </c>
      <c r="E16" s="4" t="s">
        <v>37</v>
      </c>
      <c r="F16" s="1" t="str">
        <f t="shared" si="0"/>
        <v>Yes</v>
      </c>
      <c r="G16" s="4" t="str">
        <f t="shared" si="1"/>
        <v>Yes</v>
      </c>
    </row>
    <row r="17" spans="1:7" x14ac:dyDescent="0.3">
      <c r="A17" s="3" t="s">
        <v>38</v>
      </c>
      <c r="B17" s="2">
        <v>44434.6875</v>
      </c>
      <c r="C17" s="2">
        <v>44435.388888888891</v>
      </c>
      <c r="D17" s="1" t="s">
        <v>6</v>
      </c>
      <c r="E17" s="4" t="s">
        <v>39</v>
      </c>
      <c r="F17" s="1" t="str">
        <f t="shared" si="0"/>
        <v>No</v>
      </c>
      <c r="G17" s="4" t="str">
        <f t="shared" si="1"/>
        <v>No</v>
      </c>
    </row>
    <row r="18" spans="1:7" x14ac:dyDescent="0.3">
      <c r="A18" s="3" t="s">
        <v>40</v>
      </c>
      <c r="B18" s="2">
        <v>44435.34375</v>
      </c>
      <c r="C18" s="2">
        <v>44435.371527777781</v>
      </c>
      <c r="D18" s="1" t="s">
        <v>9</v>
      </c>
      <c r="E18" s="4" t="s">
        <v>41</v>
      </c>
      <c r="F18" s="1" t="str">
        <f t="shared" si="0"/>
        <v>Yes</v>
      </c>
      <c r="G18" s="4" t="str">
        <f t="shared" si="1"/>
        <v>Yes</v>
      </c>
    </row>
    <row r="19" spans="1:7" x14ac:dyDescent="0.3">
      <c r="A19" s="3" t="s">
        <v>42</v>
      </c>
      <c r="B19" s="2">
        <v>44435.736111111109</v>
      </c>
      <c r="C19" s="2">
        <v>44436.4375</v>
      </c>
      <c r="D19" s="1" t="s">
        <v>12</v>
      </c>
      <c r="E19" s="4" t="s">
        <v>43</v>
      </c>
      <c r="F19" s="1" t="str">
        <f t="shared" si="0"/>
        <v>No</v>
      </c>
      <c r="G19" s="4" t="str">
        <f t="shared" si="1"/>
        <v>No</v>
      </c>
    </row>
    <row r="20" spans="1:7" x14ac:dyDescent="0.3">
      <c r="A20" s="3" t="s">
        <v>44</v>
      </c>
      <c r="B20" s="2">
        <v>44436.506944444445</v>
      </c>
      <c r="C20" s="2">
        <v>44436.53125</v>
      </c>
      <c r="D20" s="1" t="s">
        <v>6</v>
      </c>
      <c r="E20" s="4" t="s">
        <v>45</v>
      </c>
      <c r="F20" s="1" t="str">
        <f t="shared" si="0"/>
        <v>Yes</v>
      </c>
      <c r="G20" s="4" t="str">
        <f t="shared" si="1"/>
        <v>Yes</v>
      </c>
    </row>
    <row r="21" spans="1:7" x14ac:dyDescent="0.3">
      <c r="A21" s="8" t="s">
        <v>46</v>
      </c>
      <c r="B21" s="9">
        <v>44436.791666666664</v>
      </c>
      <c r="C21" s="9">
        <v>44437.385416666664</v>
      </c>
      <c r="D21" s="10" t="s">
        <v>9</v>
      </c>
      <c r="E21" s="11" t="s">
        <v>47</v>
      </c>
      <c r="F21" s="10" t="str">
        <f t="shared" si="0"/>
        <v>No</v>
      </c>
      <c r="G21" s="11" t="str">
        <f t="shared" si="1"/>
        <v>No</v>
      </c>
    </row>
  </sheetData>
  <pageMargins left="0.7" right="0.7" top="0.75" bottom="0.75" header="0.3" footer="0.3"/>
  <pageSetup orientation="portrait"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295B9-A004-4C23-B033-8E501409CAFB}">
  <dimension ref="A1:D21"/>
  <sheetViews>
    <sheetView workbookViewId="0">
      <selection sqref="A1:C1"/>
    </sheetView>
  </sheetViews>
  <sheetFormatPr defaultRowHeight="14.4" x14ac:dyDescent="0.3"/>
  <cols>
    <col min="1" max="1" width="18.44140625" customWidth="1"/>
    <col min="2" max="2" width="19.77734375" customWidth="1"/>
    <col min="3" max="3" width="21.6640625" customWidth="1"/>
    <col min="4" max="4" width="23.5546875" customWidth="1"/>
  </cols>
  <sheetData>
    <row r="1" spans="1:4" ht="15.6" x14ac:dyDescent="0.3">
      <c r="A1" s="5" t="s">
        <v>3</v>
      </c>
      <c r="B1" s="6" t="s">
        <v>48</v>
      </c>
      <c r="C1" s="6" t="s">
        <v>49</v>
      </c>
      <c r="D1" s="7" t="s">
        <v>50</v>
      </c>
    </row>
    <row r="2" spans="1:4" x14ac:dyDescent="0.3">
      <c r="A2" s="3" t="s">
        <v>26</v>
      </c>
      <c r="B2" s="2">
        <v>44431.479166666664</v>
      </c>
      <c r="C2" s="2">
        <v>4</v>
      </c>
      <c r="D2" s="12">
        <f>_xlfn.XLOOKUP($A2, Tickets!$E$2:$E$21, Tickets!$B$2:$B$21, "", 0)</f>
        <v>44431.423611111109</v>
      </c>
    </row>
    <row r="3" spans="1:4" x14ac:dyDescent="0.3">
      <c r="A3" s="3" t="s">
        <v>18</v>
      </c>
      <c r="B3" s="2">
        <v>44427.541666666664</v>
      </c>
      <c r="C3" s="2">
        <v>5</v>
      </c>
      <c r="D3" s="12">
        <f>_xlfn.XLOOKUP($A3, Tickets!$E$2:$E$21, Tickets!$B$2:$B$21, "", 0)</f>
        <v>44427.427083333336</v>
      </c>
    </row>
    <row r="4" spans="1:4" x14ac:dyDescent="0.3">
      <c r="A4" s="3" t="s">
        <v>21</v>
      </c>
      <c r="B4" s="2">
        <v>44429.458333333336</v>
      </c>
      <c r="C4" s="2">
        <v>2</v>
      </c>
      <c r="D4" s="12">
        <f>_xlfn.XLOOKUP($A4, Tickets!$E$2:$E$21, Tickets!$B$2:$B$21, "", 0)</f>
        <v>44428.680555555555</v>
      </c>
    </row>
    <row r="5" spans="1:4" x14ac:dyDescent="0.3">
      <c r="A5" s="3" t="s">
        <v>23</v>
      </c>
      <c r="B5" s="2">
        <v>44429.416666666664</v>
      </c>
      <c r="C5" s="2">
        <v>3</v>
      </c>
      <c r="D5" s="12">
        <f>_xlfn.XLOOKUP($A5, Tickets!$E$2:$E$21, Tickets!$B$2:$B$21, "", 0)</f>
        <v>44429.354166666664</v>
      </c>
    </row>
    <row r="6" spans="1:4" x14ac:dyDescent="0.3">
      <c r="A6" s="3" t="s">
        <v>19</v>
      </c>
      <c r="B6" s="2">
        <v>44428.5</v>
      </c>
      <c r="C6" s="2">
        <v>3</v>
      </c>
      <c r="D6" s="12">
        <f>_xlfn.XLOOKUP($A6, Tickets!$E$2:$E$21, Tickets!$B$2:$B$21, "", 0)</f>
        <v>44427.375</v>
      </c>
    </row>
    <row r="7" spans="1:4" x14ac:dyDescent="0.3">
      <c r="A7" s="3" t="s">
        <v>27</v>
      </c>
      <c r="B7" s="2">
        <v>44432.416666666664</v>
      </c>
      <c r="C7" s="2">
        <v>4</v>
      </c>
      <c r="D7" s="12">
        <f>_xlfn.XLOOKUP($A7, Tickets!$E$2:$E$21, Tickets!$B$2:$B$21, "", 0)</f>
        <v>44431.75</v>
      </c>
    </row>
    <row r="8" spans="1:4" x14ac:dyDescent="0.3">
      <c r="A8" s="3" t="s">
        <v>22</v>
      </c>
      <c r="B8" s="2">
        <v>44429.5</v>
      </c>
      <c r="C8" s="2">
        <v>5</v>
      </c>
      <c r="D8" s="12">
        <f>_xlfn.XLOOKUP($A8, Tickets!$E$2:$E$21, Tickets!$B$2:$B$21, "", 0)</f>
        <v>44429.461805555555</v>
      </c>
    </row>
    <row r="9" spans="1:4" x14ac:dyDescent="0.3">
      <c r="A9" s="3" t="s">
        <v>24</v>
      </c>
      <c r="B9" s="2">
        <v>44430.666666666664</v>
      </c>
      <c r="C9" s="2">
        <v>4</v>
      </c>
      <c r="D9" s="12">
        <f>_xlfn.XLOOKUP($A9, Tickets!$E$2:$E$21, Tickets!$B$2:$B$21, "", 0)</f>
        <v>44430.541666666664</v>
      </c>
    </row>
    <row r="10" spans="1:4" x14ac:dyDescent="0.3">
      <c r="A10" s="3" t="s">
        <v>20</v>
      </c>
      <c r="B10" s="2">
        <v>44428.625</v>
      </c>
      <c r="C10" s="2">
        <v>5</v>
      </c>
      <c r="D10" s="12">
        <f>_xlfn.XLOOKUP($A10, Tickets!$E$2:$E$21, Tickets!$B$2:$B$21, "", 0)</f>
        <v>44428.590277777781</v>
      </c>
    </row>
    <row r="11" spans="1:4" x14ac:dyDescent="0.3">
      <c r="A11" s="3" t="s">
        <v>25</v>
      </c>
      <c r="B11" s="2">
        <v>44431.458333333336</v>
      </c>
      <c r="C11" s="2">
        <v>2</v>
      </c>
      <c r="D11" s="12">
        <f>_xlfn.XLOOKUP($A11, Tickets!$E$2:$E$21, Tickets!$B$2:$B$21, "", 0)</f>
        <v>44430.725694444445</v>
      </c>
    </row>
    <row r="12" spans="1:4" x14ac:dyDescent="0.3">
      <c r="A12" s="3" t="s">
        <v>29</v>
      </c>
      <c r="B12" s="2">
        <v>44432.354166666664</v>
      </c>
      <c r="C12" s="2">
        <v>4</v>
      </c>
      <c r="D12" s="12">
        <f>_xlfn.XLOOKUP($A12, Tickets!$E$2:$E$21, Tickets!$B$2:$B$21, "", 0)</f>
        <v>44432.322916666664</v>
      </c>
    </row>
    <row r="13" spans="1:4" x14ac:dyDescent="0.3">
      <c r="A13" s="3" t="s">
        <v>31</v>
      </c>
      <c r="B13" s="2">
        <v>44433.416666666664</v>
      </c>
      <c r="C13" s="2">
        <v>3</v>
      </c>
      <c r="D13" s="12">
        <f>_xlfn.XLOOKUP($A13, Tickets!$E$2:$E$21, Tickets!$B$2:$B$21, "", 0)</f>
        <v>44432.638888888891</v>
      </c>
    </row>
    <row r="14" spans="1:4" x14ac:dyDescent="0.3">
      <c r="A14" s="3" t="s">
        <v>33</v>
      </c>
      <c r="B14" s="2">
        <v>44433.458333333336</v>
      </c>
      <c r="C14" s="2">
        <v>5</v>
      </c>
      <c r="D14" s="12">
        <f>_xlfn.XLOOKUP($A14, Tickets!$E$2:$E$21, Tickets!$B$2:$B$21, "", 0)</f>
        <v>44433.381944444445</v>
      </c>
    </row>
    <row r="15" spans="1:4" x14ac:dyDescent="0.3">
      <c r="A15" s="3" t="s">
        <v>35</v>
      </c>
      <c r="B15" s="2">
        <v>44434.541666666664</v>
      </c>
      <c r="C15" s="2">
        <v>2</v>
      </c>
      <c r="D15" s="12">
        <f>_xlfn.XLOOKUP($A15, Tickets!$E$2:$E$21, Tickets!$B$2:$B$21, "", 0)</f>
        <v>44433.489583333336</v>
      </c>
    </row>
    <row r="16" spans="1:4" x14ac:dyDescent="0.3">
      <c r="A16" s="3" t="s">
        <v>37</v>
      </c>
      <c r="B16" s="2">
        <v>44434.625</v>
      </c>
      <c r="C16" s="2">
        <v>4</v>
      </c>
      <c r="D16" s="12">
        <f>_xlfn.XLOOKUP($A16, Tickets!$E$2:$E$21, Tickets!$B$2:$B$21, "", 0)</f>
        <v>44434.583333333336</v>
      </c>
    </row>
    <row r="17" spans="1:4" x14ac:dyDescent="0.3">
      <c r="A17" s="3" t="s">
        <v>39</v>
      </c>
      <c r="B17" s="2">
        <v>44435.416666666664</v>
      </c>
      <c r="C17" s="2">
        <v>3</v>
      </c>
      <c r="D17" s="12">
        <f>_xlfn.XLOOKUP($A17, Tickets!$E$2:$E$21, Tickets!$B$2:$B$21, "", 0)</f>
        <v>44434.6875</v>
      </c>
    </row>
    <row r="18" spans="1:4" x14ac:dyDescent="0.3">
      <c r="A18" s="3" t="s">
        <v>41</v>
      </c>
      <c r="B18" s="2">
        <v>44435.395833333336</v>
      </c>
      <c r="C18" s="2">
        <v>5</v>
      </c>
      <c r="D18" s="12">
        <f>_xlfn.XLOOKUP($A18, Tickets!$E$2:$E$21, Tickets!$B$2:$B$21, "", 0)</f>
        <v>44435.34375</v>
      </c>
    </row>
    <row r="19" spans="1:4" x14ac:dyDescent="0.3">
      <c r="A19" s="3" t="s">
        <v>43</v>
      </c>
      <c r="B19" s="2">
        <v>44436.458333333336</v>
      </c>
      <c r="C19" s="2">
        <v>2</v>
      </c>
      <c r="D19" s="12">
        <f>_xlfn.XLOOKUP($A19, Tickets!$E$2:$E$21, Tickets!$B$2:$B$21, "", 0)</f>
        <v>44435.736111111109</v>
      </c>
    </row>
    <row r="20" spans="1:4" x14ac:dyDescent="0.3">
      <c r="A20" s="3" t="s">
        <v>45</v>
      </c>
      <c r="B20" s="2">
        <v>44436.541666666664</v>
      </c>
      <c r="C20" s="2">
        <v>4</v>
      </c>
      <c r="D20" s="12">
        <f>_xlfn.XLOOKUP($A20, Tickets!$E$2:$E$21, Tickets!$B$2:$B$21, "", 0)</f>
        <v>44436.506944444445</v>
      </c>
    </row>
    <row r="21" spans="1:4" x14ac:dyDescent="0.3">
      <c r="A21" s="8" t="s">
        <v>47</v>
      </c>
      <c r="B21" s="9">
        <v>44437.416666666664</v>
      </c>
      <c r="C21" s="9">
        <v>3</v>
      </c>
      <c r="D21" s="13">
        <f>_xlfn.XLOOKUP($A21, Tickets!$E$2:$E$21, Tickets!$B$2:$B$21, "", 0)</f>
        <v>44436.791666666664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0C88D-8BA0-4709-9CE7-4405FB279A9F}">
  <dimension ref="A1:C4"/>
  <sheetViews>
    <sheetView workbookViewId="0">
      <selection activeCell="C2" sqref="C2:C4"/>
    </sheetView>
  </sheetViews>
  <sheetFormatPr defaultRowHeight="14.4" x14ac:dyDescent="0.3"/>
  <cols>
    <col min="1" max="1" width="14" bestFit="1" customWidth="1"/>
    <col min="2" max="2" width="15.88671875" customWidth="1"/>
    <col min="3" max="3" width="19.5546875" customWidth="1"/>
  </cols>
  <sheetData>
    <row r="1" spans="1:3" ht="15.6" x14ac:dyDescent="0.3">
      <c r="A1" s="14" t="s">
        <v>2</v>
      </c>
      <c r="B1" s="15" t="s">
        <v>51</v>
      </c>
      <c r="C1" s="16" t="s">
        <v>52</v>
      </c>
    </row>
    <row r="2" spans="1:3" x14ac:dyDescent="0.3">
      <c r="A2" s="3" t="s">
        <v>6</v>
      </c>
      <c r="B2" s="1">
        <f>COUNTIFS(Table1[outlet_id], A2, Table1[Same Day], "Yes")</f>
        <v>4</v>
      </c>
      <c r="C2" s="4">
        <f>COUNTIFS(Table1[outlet_id], A2,Table1[Same Hour], "Yes")</f>
        <v>1</v>
      </c>
    </row>
    <row r="3" spans="1:3" x14ac:dyDescent="0.3">
      <c r="A3" s="3" t="s">
        <v>9</v>
      </c>
      <c r="B3" s="1">
        <f>COUNTIFS(Table1[outlet_id], A3, Table1[Same Day], "Yes")</f>
        <v>3</v>
      </c>
      <c r="C3" s="4">
        <f>COUNTIFS(Table1[outlet_id], A3,Table1[Same Hour], "Yes")</f>
        <v>2</v>
      </c>
    </row>
    <row r="4" spans="1:3" x14ac:dyDescent="0.3">
      <c r="A4" s="8" t="s">
        <v>12</v>
      </c>
      <c r="B4" s="10">
        <f>COUNTIFS(Table1[outlet_id], A4, Table1[Same Day], "Yes")</f>
        <v>4</v>
      </c>
      <c r="C4" s="4">
        <f>COUNTIFS(Table1[outlet_id], A4,Table1[Same Hour], "Yes")</f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Feedbacks</vt:lpstr>
      <vt:lpstr>Outlet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 KUMAR DWIVEDY</dc:creator>
  <cp:lastModifiedBy>RANJAN KUMAR DWIVEDY</cp:lastModifiedBy>
  <dcterms:created xsi:type="dcterms:W3CDTF">2026-04-09T04:01:19Z</dcterms:created>
  <dcterms:modified xsi:type="dcterms:W3CDTF">2026-04-09T05:32:18Z</dcterms:modified>
</cp:coreProperties>
</file>